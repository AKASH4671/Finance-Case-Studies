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9f85cf28bed084/Desktop/CAse Study A - Microsoft x Spotify/02_Excel_Model/"/>
    </mc:Choice>
  </mc:AlternateContent>
  <xr:revisionPtr revIDLastSave="392" documentId="8_{9E37ABE3-D1D2-48FA-B0B9-C19B748FAEF5}" xr6:coauthVersionLast="47" xr6:coauthVersionMax="47" xr10:uidLastSave="{2C21B605-B3CE-47A3-9711-17D43549854A}"/>
  <bookViews>
    <workbookView xWindow="5400" yWindow="2430" windowWidth="16200" windowHeight="9855" xr2:uid="{92788EE5-D311-4F4C-A33F-327CC5B4D1B9}"/>
  </bookViews>
  <sheets>
    <sheet name="Inputs" sheetId="1" r:id="rId1"/>
    <sheet name="Cha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1" l="1"/>
  <c r="C76" i="1"/>
  <c r="C74" i="1"/>
  <c r="D35" i="1"/>
  <c r="D36" i="1"/>
  <c r="D34" i="1"/>
  <c r="D19" i="2"/>
  <c r="C19" i="2"/>
  <c r="B19" i="2"/>
  <c r="B12" i="2"/>
  <c r="C12" i="2"/>
  <c r="D12" i="2"/>
</calcChain>
</file>

<file path=xl/sharedStrings.xml><?xml version="1.0" encoding="utf-8"?>
<sst xmlns="http://schemas.openxmlformats.org/spreadsheetml/2006/main" count="67" uniqueCount="46">
  <si>
    <t>Spotify (EUR millions)</t>
  </si>
  <si>
    <t>Revenue</t>
  </si>
  <si>
    <t>Gross Profit</t>
  </si>
  <si>
    <t>Operating Income</t>
  </si>
  <si>
    <t xml:space="preserve">Metric                    </t>
  </si>
  <si>
    <t xml:space="preserve">Revenue                   </t>
  </si>
  <si>
    <t xml:space="preserve">Gross Profit           </t>
  </si>
  <si>
    <t xml:space="preserve">Operating Income        </t>
  </si>
  <si>
    <t xml:space="preserve">Net Income                </t>
  </si>
  <si>
    <t xml:space="preserve">Cash &amp; Equivalents (2024) </t>
  </si>
  <si>
    <t xml:space="preserve">Total Debt (2024)  </t>
  </si>
  <si>
    <t xml:space="preserve">Shares Outstanding (Diluted) </t>
  </si>
  <si>
    <t>Microsoft (USD millions)</t>
  </si>
  <si>
    <t>Revenue Data (for Charts)</t>
  </si>
  <si>
    <t>Metric</t>
  </si>
  <si>
    <t>spotify (EUR)</t>
  </si>
  <si>
    <t>Microsoft (USD)</t>
  </si>
  <si>
    <t>GROSS MARGIN TABLE (Spotify ONLY)</t>
  </si>
  <si>
    <t>Gross Margin %</t>
  </si>
  <si>
    <t>OPERATING MARGIN TABLE (Spotify ONLY)</t>
  </si>
  <si>
    <t>Operating Margin %</t>
  </si>
  <si>
    <t>FX Rate (EUR to USD)</t>
  </si>
  <si>
    <t xml:space="preserve">1 EUR = </t>
  </si>
  <si>
    <t>1.10 USD</t>
  </si>
  <si>
    <t>Spotify (USD Converted)</t>
  </si>
  <si>
    <t>Metrics</t>
  </si>
  <si>
    <t>Cash &amp; Equivalents</t>
  </si>
  <si>
    <t>Total Debt</t>
  </si>
  <si>
    <t>2024 (EUR)</t>
  </si>
  <si>
    <t>FX</t>
  </si>
  <si>
    <t>2024 (US)</t>
  </si>
  <si>
    <t>Spotify Enterprise Value (USD)</t>
  </si>
  <si>
    <t>Market Cap</t>
  </si>
  <si>
    <t>Enterprise Value (EV)</t>
  </si>
  <si>
    <t>(All numbers in millions USD)</t>
  </si>
  <si>
    <t>Microsoft Enterprise Value (USD)</t>
  </si>
  <si>
    <t>Spotify Valuation - EV/Sales Method</t>
  </si>
  <si>
    <t>Value</t>
  </si>
  <si>
    <t>2024 Revenue (USD)</t>
  </si>
  <si>
    <t>116820/17240</t>
  </si>
  <si>
    <t>Current EV</t>
  </si>
  <si>
    <t>Current EV/Sales</t>
  </si>
  <si>
    <t>Current EV/Sales = 6.77x</t>
  </si>
  <si>
    <t>Acquisition Valuation Sensitivity (EV/Sales)</t>
  </si>
  <si>
    <t>EV/Sales Multiple</t>
  </si>
  <si>
    <t>Implied EV (USD 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</si>
</sst>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  <numFmt numFmtId="166" formatCode="#,##0.0_ ;\-#,##0.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3" fillId="0" borderId="0" xfId="0" applyFont="1"/>
    <xf numFmtId="0" fontId="4" fillId="0" borderId="0" xfId="0" applyFont="1"/>
    <xf numFmtId="164" fontId="0" fillId="0" borderId="1" xfId="1" applyNumberFormat="1" applyFont="1" applyBorder="1"/>
    <xf numFmtId="165" fontId="0" fillId="0" borderId="1" xfId="1" applyNumberFormat="1" applyFont="1" applyBorder="1"/>
    <xf numFmtId="0" fontId="2" fillId="4" borderId="0" xfId="0" applyFont="1" applyFill="1"/>
    <xf numFmtId="0" fontId="2" fillId="0" borderId="1" xfId="0" applyFont="1" applyBorder="1"/>
    <xf numFmtId="10" fontId="0" fillId="0" borderId="1" xfId="0" applyNumberFormat="1" applyBorder="1"/>
    <xf numFmtId="166" fontId="0" fillId="0" borderId="1" xfId="1" applyNumberFormat="1" applyFont="1" applyBorder="1"/>
    <xf numFmtId="0" fontId="5" fillId="0" borderId="0" xfId="0" applyFont="1"/>
    <xf numFmtId="0" fontId="6" fillId="0" borderId="0" xfId="0" applyFont="1"/>
    <xf numFmtId="0" fontId="2" fillId="4" borderId="1" xfId="0" applyFont="1" applyFill="1" applyBorder="1"/>
    <xf numFmtId="0" fontId="7" fillId="0" borderId="0" xfId="0" applyFont="1"/>
    <xf numFmtId="0" fontId="2" fillId="5" borderId="1" xfId="0" applyFont="1" applyFill="1" applyBorder="1"/>
    <xf numFmtId="0" fontId="2" fillId="6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Spotify Revenue Trend (2022–2024)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Charts!$A$4</c:f>
              <c:strCache>
                <c:ptCount val="1"/>
                <c:pt idx="0">
                  <c:v>spotify (EUR)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(Charts!$B$3,Charts!$C$3,Charts!$D$3)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Charts!$B$4:$D$4</c:f>
              <c:numCache>
                <c:formatCode>_ * #,##0_ ;_ * \-#,##0_ ;_ * "-"??_ ;_ @_ </c:formatCode>
                <c:ptCount val="3"/>
                <c:pt idx="0">
                  <c:v>11727</c:v>
                </c:pt>
                <c:pt idx="1">
                  <c:v>13247</c:v>
                </c:pt>
                <c:pt idx="2">
                  <c:v>15673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18-47C3-A278-EFA03E3E6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7099503"/>
        <c:axId val="1977099983"/>
      </c:lineChart>
      <c:catAx>
        <c:axId val="197709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099983"/>
        <c:crosses val="autoZero"/>
        <c:auto val="1"/>
        <c:lblAlgn val="ctr"/>
        <c:lblOffset val="100"/>
        <c:noMultiLvlLbl val="0"/>
      </c:catAx>
      <c:valAx>
        <c:axId val="197709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09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Microsoft Revenue Trend (2022–2024)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Charts!$A$5</c:f>
              <c:strCache>
                <c:ptCount val="1"/>
                <c:pt idx="0">
                  <c:v>Microsoft (USD)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(Charts!$B$3,Charts!$C$3,Charts!$D$3)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Charts!$B$5:$D$5</c:f>
              <c:numCache>
                <c:formatCode>_ * #,##0_ ;_ * \-#,##0_ ;_ * "-"??_ ;_ @_ </c:formatCode>
                <c:ptCount val="3"/>
                <c:pt idx="0">
                  <c:v>198270</c:v>
                </c:pt>
                <c:pt idx="1">
                  <c:v>211915</c:v>
                </c:pt>
                <c:pt idx="2">
                  <c:v>245122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5C-4180-9095-DA824F1BB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6676591"/>
        <c:axId val="1976678031"/>
      </c:lineChart>
      <c:catAx>
        <c:axId val="197667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678031"/>
        <c:crosses val="autoZero"/>
        <c:auto val="1"/>
        <c:lblAlgn val="ctr"/>
        <c:lblOffset val="100"/>
        <c:noMultiLvlLbl val="0"/>
      </c:catAx>
      <c:valAx>
        <c:axId val="197667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67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Spotify Gross Margin Trend (2022–2024)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Charts!$A$12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(Charts!$B$9,Charts!$C$9,Charts!$D$9)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Charts!$B$12:$D$12</c:f>
              <c:numCache>
                <c:formatCode>0.00%</c:formatCode>
                <c:ptCount val="3"/>
                <c:pt idx="0">
                  <c:v>0.2495096785196555</c:v>
                </c:pt>
                <c:pt idx="1">
                  <c:v>0.25643541934022795</c:v>
                </c:pt>
                <c:pt idx="2">
                  <c:v>0.30141006827027372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C1-4B24-942E-807AEFE86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0340607"/>
        <c:axId val="2010339647"/>
      </c:lineChart>
      <c:catAx>
        <c:axId val="201034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339647"/>
        <c:crosses val="autoZero"/>
        <c:auto val="1"/>
        <c:lblAlgn val="ctr"/>
        <c:lblOffset val="100"/>
        <c:noMultiLvlLbl val="0"/>
      </c:catAx>
      <c:valAx>
        <c:axId val="201033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34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Spotify Operating Margin Trend (2022–2024)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88727034120735"/>
          <c:y val="0.16422499270924468"/>
          <c:w val="0.85334951881014875"/>
          <c:h val="0.6714577865266842"/>
        </c:manualLayout>
      </c:layout>
      <c:lineChart>
        <c:grouping val="standard"/>
        <c:varyColors val="0"/>
        <c:ser>
          <c:idx val="1"/>
          <c:order val="0"/>
          <c:tx>
            <c:strRef>
              <c:f>Charts!$A$19</c:f>
              <c:strCache>
                <c:ptCount val="1"/>
                <c:pt idx="0">
                  <c:v>Operating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Charts!$B$16:$D$16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Charts!$B$19:$D$19</c:f>
              <c:numCache>
                <c:formatCode>0.00%</c:formatCode>
                <c:ptCount val="3"/>
                <c:pt idx="0">
                  <c:v>-5.6195105312526646E-2</c:v>
                </c:pt>
                <c:pt idx="1">
                  <c:v>-3.3668000301955159E-2</c:v>
                </c:pt>
                <c:pt idx="2">
                  <c:v>8.6964843999234348E-2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E9-4A01-BED3-8997EAFE2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3923087"/>
        <c:axId val="1913922127"/>
      </c:lineChart>
      <c:catAx>
        <c:axId val="191392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922127"/>
        <c:crosses val="autoZero"/>
        <c:auto val="1"/>
        <c:lblAlgn val="ctr"/>
        <c:lblOffset val="100"/>
        <c:noMultiLvlLbl val="0"/>
      </c:catAx>
      <c:valAx>
        <c:axId val="191392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92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524083278842086"/>
          <c:y val="0.91629026640770961"/>
          <c:w val="0.34363490099038568"/>
          <c:h val="6.76696358739942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440530</xdr:colOff>
      <xdr:row>1</xdr:row>
      <xdr:rowOff>57150</xdr:rowOff>
    </xdr:from>
    <xdr:to>
      <xdr:col>10</xdr:col>
      <xdr:colOff>314325</xdr:colOff>
      <xdr:row>12</xdr:row>
      <xdr:rowOff>142874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B153DE8-BFBE-5D63-9485-03C91DD23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545306</xdr:colOff>
      <xdr:row>1</xdr:row>
      <xdr:rowOff>57151</xdr:rowOff>
    </xdr:from>
    <xdr:to>
      <xdr:col>16</xdr:col>
      <xdr:colOff>414338</xdr:colOff>
      <xdr:row>12</xdr:row>
      <xdr:rowOff>157164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8E38883-1BE0-04D7-8376-F83085829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278605</xdr:colOff>
      <xdr:row>14</xdr:row>
      <xdr:rowOff>19049</xdr:rowOff>
    </xdr:from>
    <xdr:to>
      <xdr:col>11</xdr:col>
      <xdr:colOff>19050</xdr:colOff>
      <xdr:row>28</xdr:row>
      <xdr:rowOff>95250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0D366C6-7455-542F-94D3-037D7E8C3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254793</xdr:colOff>
      <xdr:row>13</xdr:row>
      <xdr:rowOff>166687</xdr:rowOff>
    </xdr:from>
    <xdr:to>
      <xdr:col>18</xdr:col>
      <xdr:colOff>38100</xdr:colOff>
      <xdr:row>31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D2CBB63-5842-388F-7D2B-B3C075E83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B3A9-6482-4406-9D49-5C69B3F1A976}">
  <dimension ref="A1:D76"/>
  <sheetViews>
    <sheetView tabSelected="1" workbookViewId="0">
      <selection activeCell="A73" sqref="A73:C76"/>
    </sheetView>
  </sheetViews>
  <sheetFormatPr defaultRowHeight="14.25" x14ac:dyDescent="0.45"/>
  <cols>
    <col min="1" max="1" width="25" style="1" bestFit="1" customWidth="1"/>
    <col min="2" max="2" width="12.46484375" bestFit="1" customWidth="1"/>
    <col min="3" max="3" width="20.73046875" bestFit="1" customWidth="1"/>
    <col min="4" max="4" width="16.06640625" bestFit="1" customWidth="1"/>
  </cols>
  <sheetData>
    <row r="1" spans="1:4" s="5" customFormat="1" ht="21" x14ac:dyDescent="0.65">
      <c r="A1" s="4" t="s">
        <v>0</v>
      </c>
    </row>
    <row r="3" spans="1:4" s="1" customFormat="1" x14ac:dyDescent="0.45">
      <c r="A3" s="2" t="s">
        <v>4</v>
      </c>
      <c r="B3" s="3">
        <v>2022</v>
      </c>
      <c r="C3" s="3">
        <v>2023</v>
      </c>
      <c r="D3" s="3">
        <v>2024</v>
      </c>
    </row>
    <row r="4" spans="1:4" x14ac:dyDescent="0.45">
      <c r="A4" s="2" t="s">
        <v>5</v>
      </c>
      <c r="B4" s="7">
        <v>11727</v>
      </c>
      <c r="C4" s="7">
        <v>13247</v>
      </c>
      <c r="D4" s="7">
        <v>15673</v>
      </c>
    </row>
    <row r="5" spans="1:4" x14ac:dyDescent="0.45">
      <c r="A5" s="2" t="s">
        <v>6</v>
      </c>
      <c r="B5" s="7">
        <v>2926</v>
      </c>
      <c r="C5" s="7">
        <v>3397</v>
      </c>
      <c r="D5" s="7">
        <v>4724</v>
      </c>
    </row>
    <row r="6" spans="1:4" x14ac:dyDescent="0.45">
      <c r="A6" s="2" t="s">
        <v>7</v>
      </c>
      <c r="B6" s="7">
        <v>-659</v>
      </c>
      <c r="C6" s="7">
        <v>-446</v>
      </c>
      <c r="D6" s="7">
        <v>1365</v>
      </c>
    </row>
    <row r="7" spans="1:4" x14ac:dyDescent="0.45">
      <c r="A7" s="2" t="s">
        <v>8</v>
      </c>
      <c r="B7" s="7">
        <v>-430</v>
      </c>
      <c r="C7" s="7">
        <v>-532</v>
      </c>
      <c r="D7" s="7">
        <v>1138</v>
      </c>
    </row>
    <row r="8" spans="1:4" x14ac:dyDescent="0.45">
      <c r="A8" s="2" t="s">
        <v>9</v>
      </c>
      <c r="B8" s="7"/>
      <c r="C8" s="7"/>
      <c r="D8" s="7">
        <v>7448</v>
      </c>
    </row>
    <row r="9" spans="1:4" x14ac:dyDescent="0.45">
      <c r="A9" s="2" t="s">
        <v>10</v>
      </c>
      <c r="B9" s="7"/>
      <c r="C9" s="7"/>
      <c r="D9" s="7">
        <v>1539</v>
      </c>
    </row>
    <row r="10" spans="1:4" x14ac:dyDescent="0.45">
      <c r="A10" s="2" t="s">
        <v>11</v>
      </c>
      <c r="B10" s="7"/>
      <c r="C10" s="7"/>
      <c r="D10" s="7">
        <v>206990369</v>
      </c>
    </row>
    <row r="15" spans="1:4" s="5" customFormat="1" ht="21" x14ac:dyDescent="0.65">
      <c r="A15" s="4" t="s">
        <v>12</v>
      </c>
    </row>
    <row r="17" spans="1:4" x14ac:dyDescent="0.45">
      <c r="A17" s="2" t="s">
        <v>4</v>
      </c>
      <c r="B17" s="3">
        <v>2022</v>
      </c>
      <c r="C17" s="3">
        <v>2023</v>
      </c>
      <c r="D17" s="3">
        <v>2024</v>
      </c>
    </row>
    <row r="18" spans="1:4" x14ac:dyDescent="0.45">
      <c r="A18" s="2" t="s">
        <v>5</v>
      </c>
      <c r="B18" s="7">
        <v>198270</v>
      </c>
      <c r="C18" s="7">
        <v>211915</v>
      </c>
      <c r="D18" s="7">
        <v>245122</v>
      </c>
    </row>
    <row r="19" spans="1:4" x14ac:dyDescent="0.45">
      <c r="A19" s="2" t="s">
        <v>7</v>
      </c>
      <c r="B19" s="7">
        <v>83383</v>
      </c>
      <c r="C19" s="7">
        <v>88523</v>
      </c>
      <c r="D19" s="7">
        <v>109433</v>
      </c>
    </row>
    <row r="20" spans="1:4" x14ac:dyDescent="0.45">
      <c r="A20" s="2" t="s">
        <v>8</v>
      </c>
      <c r="B20" s="7">
        <v>72738</v>
      </c>
      <c r="C20" s="7">
        <v>72361</v>
      </c>
      <c r="D20" s="7">
        <v>88136</v>
      </c>
    </row>
    <row r="21" spans="1:4" x14ac:dyDescent="0.45">
      <c r="A21" s="2" t="s">
        <v>9</v>
      </c>
      <c r="B21" s="7"/>
      <c r="C21" s="7"/>
      <c r="D21" s="7">
        <v>75543</v>
      </c>
    </row>
    <row r="22" spans="1:4" x14ac:dyDescent="0.45">
      <c r="A22" s="2" t="s">
        <v>10</v>
      </c>
      <c r="B22" s="7"/>
      <c r="C22" s="7"/>
      <c r="D22" s="7">
        <v>51630</v>
      </c>
    </row>
    <row r="23" spans="1:4" x14ac:dyDescent="0.45">
      <c r="A23" s="2" t="s">
        <v>11</v>
      </c>
      <c r="B23" s="7"/>
      <c r="C23" s="7"/>
      <c r="D23" s="7">
        <v>7469000000</v>
      </c>
    </row>
    <row r="28" spans="1:4" ht="21" x14ac:dyDescent="0.65">
      <c r="A28" s="12" t="s">
        <v>21</v>
      </c>
    </row>
    <row r="29" spans="1:4" x14ac:dyDescent="0.45">
      <c r="A29" s="13" t="s">
        <v>22</v>
      </c>
      <c r="B29" s="13" t="s">
        <v>23</v>
      </c>
    </row>
    <row r="31" spans="1:4" ht="21" x14ac:dyDescent="0.65">
      <c r="A31" s="4" t="s">
        <v>24</v>
      </c>
    </row>
    <row r="33" spans="1:4" x14ac:dyDescent="0.45">
      <c r="A33" s="14" t="s">
        <v>25</v>
      </c>
      <c r="B33" s="14" t="s">
        <v>28</v>
      </c>
      <c r="C33" s="14" t="s">
        <v>29</v>
      </c>
      <c r="D33" s="14" t="s">
        <v>30</v>
      </c>
    </row>
    <row r="34" spans="1:4" x14ac:dyDescent="0.45">
      <c r="A34" s="17" t="s">
        <v>1</v>
      </c>
      <c r="B34" s="6">
        <v>15673</v>
      </c>
      <c r="C34" s="6">
        <v>1.1000000000000001</v>
      </c>
      <c r="D34" s="11">
        <f>B34*C34</f>
        <v>17240.300000000003</v>
      </c>
    </row>
    <row r="35" spans="1:4" x14ac:dyDescent="0.45">
      <c r="A35" s="17" t="s">
        <v>26</v>
      </c>
      <c r="B35" s="6">
        <v>7448</v>
      </c>
      <c r="C35" s="6">
        <v>1.1000000000000001</v>
      </c>
      <c r="D35" s="11">
        <f t="shared" ref="D35:D36" si="0">B35*C35</f>
        <v>8192.8000000000011</v>
      </c>
    </row>
    <row r="36" spans="1:4" x14ac:dyDescent="0.45">
      <c r="A36" s="17" t="s">
        <v>27</v>
      </c>
      <c r="B36" s="6">
        <v>1539</v>
      </c>
      <c r="C36" s="6">
        <v>1.1000000000000001</v>
      </c>
      <c r="D36" s="11">
        <f t="shared" si="0"/>
        <v>1692.9</v>
      </c>
    </row>
    <row r="41" spans="1:4" ht="21" x14ac:dyDescent="0.65">
      <c r="A41" s="4" t="s">
        <v>31</v>
      </c>
    </row>
    <row r="43" spans="1:4" x14ac:dyDescent="0.45">
      <c r="A43" s="9" t="s">
        <v>32</v>
      </c>
      <c r="B43" s="7">
        <v>123320</v>
      </c>
    </row>
    <row r="44" spans="1:4" x14ac:dyDescent="0.45">
      <c r="A44" s="9" t="s">
        <v>27</v>
      </c>
      <c r="B44" s="7">
        <v>1693</v>
      </c>
    </row>
    <row r="45" spans="1:4" x14ac:dyDescent="0.45">
      <c r="A45" s="9" t="s">
        <v>26</v>
      </c>
      <c r="B45" s="7">
        <v>-8193</v>
      </c>
    </row>
    <row r="46" spans="1:4" x14ac:dyDescent="0.45">
      <c r="A46" s="14" t="s">
        <v>33</v>
      </c>
      <c r="B46" s="7">
        <v>116820</v>
      </c>
    </row>
    <row r="47" spans="1:4" x14ac:dyDescent="0.45">
      <c r="A47" s="13" t="s">
        <v>34</v>
      </c>
    </row>
    <row r="51" spans="1:2" ht="21" x14ac:dyDescent="0.65">
      <c r="A51" s="4" t="s">
        <v>35</v>
      </c>
    </row>
    <row r="53" spans="1:2" x14ac:dyDescent="0.45">
      <c r="A53" s="9" t="s">
        <v>32</v>
      </c>
      <c r="B53" s="7">
        <v>3660000</v>
      </c>
    </row>
    <row r="54" spans="1:2" x14ac:dyDescent="0.45">
      <c r="A54" s="9" t="s">
        <v>27</v>
      </c>
      <c r="B54" s="7">
        <v>51630</v>
      </c>
    </row>
    <row r="55" spans="1:2" x14ac:dyDescent="0.45">
      <c r="A55" s="9" t="s">
        <v>26</v>
      </c>
      <c r="B55" s="7">
        <v>-75543</v>
      </c>
    </row>
    <row r="56" spans="1:2" x14ac:dyDescent="0.45">
      <c r="A56" s="14" t="s">
        <v>33</v>
      </c>
      <c r="B56" s="7">
        <v>3636087</v>
      </c>
    </row>
    <row r="57" spans="1:2" x14ac:dyDescent="0.45">
      <c r="A57" s="13" t="s">
        <v>34</v>
      </c>
    </row>
    <row r="62" spans="1:2" ht="21" x14ac:dyDescent="0.65">
      <c r="A62" s="4" t="s">
        <v>36</v>
      </c>
    </row>
    <row r="64" spans="1:2" x14ac:dyDescent="0.45">
      <c r="A64" s="14" t="s">
        <v>14</v>
      </c>
      <c r="B64" s="14" t="s">
        <v>37</v>
      </c>
    </row>
    <row r="65" spans="1:4" x14ac:dyDescent="0.45">
      <c r="A65" s="16" t="s">
        <v>38</v>
      </c>
      <c r="B65" s="7">
        <v>17240</v>
      </c>
    </row>
    <row r="66" spans="1:4" x14ac:dyDescent="0.45">
      <c r="A66" s="16" t="s">
        <v>40</v>
      </c>
      <c r="B66" s="7">
        <v>116820</v>
      </c>
    </row>
    <row r="67" spans="1:4" x14ac:dyDescent="0.45">
      <c r="A67" s="16" t="s">
        <v>41</v>
      </c>
      <c r="B67" s="7" t="s">
        <v>39</v>
      </c>
    </row>
    <row r="68" spans="1:4" x14ac:dyDescent="0.45">
      <c r="A68" s="13" t="s">
        <v>34</v>
      </c>
    </row>
    <row r="69" spans="1:4" x14ac:dyDescent="0.45">
      <c r="A69" s="15" t="s">
        <v>42</v>
      </c>
    </row>
    <row r="71" spans="1:4" ht="21" x14ac:dyDescent="0.65">
      <c r="A71" s="4" t="s">
        <v>43</v>
      </c>
    </row>
    <row r="73" spans="1:4" x14ac:dyDescent="0.45">
      <c r="A73" s="14" t="s">
        <v>44</v>
      </c>
      <c r="B73" s="14" t="s">
        <v>1</v>
      </c>
      <c r="C73" s="14" t="s">
        <v>45</v>
      </c>
      <c r="D73" s="1"/>
    </row>
    <row r="74" spans="1:4" x14ac:dyDescent="0.45">
      <c r="A74" s="9">
        <v>6</v>
      </c>
      <c r="B74" s="7">
        <v>17240</v>
      </c>
      <c r="C74" s="7">
        <f>A74*B74</f>
        <v>103440</v>
      </c>
    </row>
    <row r="75" spans="1:4" x14ac:dyDescent="0.45">
      <c r="A75" s="9">
        <v>7</v>
      </c>
      <c r="B75" s="7">
        <v>17240</v>
      </c>
      <c r="C75" s="7">
        <f t="shared" ref="C75:C76" si="1">A75*B75</f>
        <v>120680</v>
      </c>
    </row>
    <row r="76" spans="1:4" x14ac:dyDescent="0.45">
      <c r="A76" s="9">
        <v>8</v>
      </c>
      <c r="B76" s="7">
        <v>17240</v>
      </c>
      <c r="C76" s="7">
        <f t="shared" si="1"/>
        <v>137920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C63B-03F9-4F04-944B-1222A10CA3A0}">
  <dimension ref="A1:D19"/>
  <sheetViews>
    <sheetView workbookViewId="0">
      <selection activeCell="P32" sqref="P32"/>
    </sheetView>
  </sheetViews>
  <sheetFormatPr defaultRowHeight="14.25" x14ac:dyDescent="0.45"/>
  <cols>
    <col min="1" max="1" width="34.86328125" bestFit="1" customWidth="1"/>
    <col min="2" max="4" width="13.1328125" bestFit="1" customWidth="1"/>
  </cols>
  <sheetData>
    <row r="1" spans="1:4" x14ac:dyDescent="0.45">
      <c r="A1" s="8" t="s">
        <v>13</v>
      </c>
    </row>
    <row r="3" spans="1:4" x14ac:dyDescent="0.45">
      <c r="A3" s="9" t="s">
        <v>14</v>
      </c>
      <c r="B3" s="9">
        <v>2022</v>
      </c>
      <c r="C3" s="9">
        <v>2023</v>
      </c>
      <c r="D3" s="9">
        <v>2024</v>
      </c>
    </row>
    <row r="4" spans="1:4" x14ac:dyDescent="0.45">
      <c r="A4" s="9" t="s">
        <v>15</v>
      </c>
      <c r="B4" s="7">
        <v>11727</v>
      </c>
      <c r="C4" s="7">
        <v>13247</v>
      </c>
      <c r="D4" s="7">
        <v>15673</v>
      </c>
    </row>
    <row r="5" spans="1:4" x14ac:dyDescent="0.45">
      <c r="A5" s="9" t="s">
        <v>16</v>
      </c>
      <c r="B5" s="7">
        <v>198270</v>
      </c>
      <c r="C5" s="7">
        <v>211915</v>
      </c>
      <c r="D5" s="7">
        <v>245122</v>
      </c>
    </row>
    <row r="7" spans="1:4" s="1" customFormat="1" x14ac:dyDescent="0.45">
      <c r="A7" s="8" t="s">
        <v>17</v>
      </c>
    </row>
    <row r="9" spans="1:4" x14ac:dyDescent="0.45">
      <c r="A9" s="9" t="s">
        <v>14</v>
      </c>
      <c r="B9" s="9">
        <v>2022</v>
      </c>
      <c r="C9" s="9">
        <v>2023</v>
      </c>
      <c r="D9" s="9">
        <v>2024</v>
      </c>
    </row>
    <row r="10" spans="1:4" x14ac:dyDescent="0.45">
      <c r="A10" s="9" t="s">
        <v>2</v>
      </c>
      <c r="B10" s="7">
        <v>2926</v>
      </c>
      <c r="C10" s="7">
        <v>3397</v>
      </c>
      <c r="D10" s="7">
        <v>4724</v>
      </c>
    </row>
    <row r="11" spans="1:4" x14ac:dyDescent="0.45">
      <c r="A11" s="9" t="s">
        <v>1</v>
      </c>
      <c r="B11" s="7">
        <v>11727</v>
      </c>
      <c r="C11" s="7">
        <v>13247</v>
      </c>
      <c r="D11" s="7">
        <v>15673</v>
      </c>
    </row>
    <row r="12" spans="1:4" x14ac:dyDescent="0.45">
      <c r="A12" s="9" t="s">
        <v>18</v>
      </c>
      <c r="B12" s="10">
        <f>B10/B11</f>
        <v>0.2495096785196555</v>
      </c>
      <c r="C12" s="10">
        <f>C10/C11</f>
        <v>0.25643541934022795</v>
      </c>
      <c r="D12" s="10">
        <f t="shared" ref="D12" si="0">D10/D11</f>
        <v>0.30141006827027372</v>
      </c>
    </row>
    <row r="14" spans="1:4" x14ac:dyDescent="0.45">
      <c r="A14" s="8" t="s">
        <v>19</v>
      </c>
    </row>
    <row r="16" spans="1:4" x14ac:dyDescent="0.45">
      <c r="A16" s="9" t="s">
        <v>14</v>
      </c>
      <c r="B16" s="9">
        <v>2022</v>
      </c>
      <c r="C16" s="9">
        <v>2023</v>
      </c>
      <c r="D16" s="9">
        <v>2024</v>
      </c>
    </row>
    <row r="17" spans="1:4" x14ac:dyDescent="0.45">
      <c r="A17" s="9" t="s">
        <v>3</v>
      </c>
      <c r="B17" s="7">
        <v>-659</v>
      </c>
      <c r="C17" s="7">
        <v>-446</v>
      </c>
      <c r="D17" s="7">
        <v>1363</v>
      </c>
    </row>
    <row r="18" spans="1:4" x14ac:dyDescent="0.45">
      <c r="A18" s="9" t="s">
        <v>1</v>
      </c>
      <c r="B18" s="7">
        <v>11727</v>
      </c>
      <c r="C18" s="7">
        <v>13247</v>
      </c>
      <c r="D18" s="7">
        <v>15673</v>
      </c>
    </row>
    <row r="19" spans="1:4" x14ac:dyDescent="0.45">
      <c r="A19" s="9" t="s">
        <v>20</v>
      </c>
      <c r="B19" s="10">
        <f>B17/B18</f>
        <v>-5.6195105312526646E-2</v>
      </c>
      <c r="C19" s="10">
        <f>C17/C18</f>
        <v>-3.3668000301955159E-2</v>
      </c>
      <c r="D19" s="10">
        <f t="shared" ref="D19" si="1">D17/D18</f>
        <v>8.6964843999234348E-2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ghosal</dc:creator>
  <cp:lastModifiedBy>akash ghosal</cp:lastModifiedBy>
  <dcterms:created xsi:type="dcterms:W3CDTF">2025-11-28T23:00:28Z</dcterms:created>
  <dcterms:modified xsi:type="dcterms:W3CDTF">2025-12-01T04:21:02Z</dcterms:modified>
</cp:coreProperties>
</file>